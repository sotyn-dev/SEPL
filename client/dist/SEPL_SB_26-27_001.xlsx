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<sst xmlns="http://schemas.openxmlformats.org/spreadsheetml/2006/main" count="86" uniqueCount="71">
  <si>
    <t xml:space="preserve">SECURED ENGINEERS PVT. LTD</t>
  </si>
  <si>
    <t xml:space="preserve">ELECTRICAL · HVAC · FIRE SAFETY · PLUMBING · SOLAR EPC</t>
  </si>
  <si>
    <t xml:space="preserve">H.O.: 2480/1, B.K Tower, 1st Floor, Near Grewal Hospital, Gill Road, Ludhiana, Punjab – 141003</t>
  </si>
  <si>
    <t xml:space="preserve">Noida: 91, Springboard, Sector 2, Noida (UP)  |  PAN-INDIA: LUDHIANA | NOIDA | BANGALORE | MUMBAI</t>
  </si>
  <si>
    <t xml:space="preserve">GSTIN: 03AASCS7836D2Z3    PAN: AASCS7836D</t>
  </si>
  <si>
    <t xml:space="preserve">TAX INVOICE – INSTALLATION SALES BILL</t>
  </si>
  <si>
    <t xml:space="preserve">ORIGINAL FOR RECIPIENT</t>
  </si>
  <si>
    <t xml:space="preserve">Invoice No.</t>
  </si>
  <si>
    <t xml:space="preserve">SEPL/SB/26-27/001</t>
  </si>
  <si>
    <t xml:space="preserve">Invoice Date</t>
  </si>
  <si>
    <t xml:space="preserve">2026-06-13</t>
  </si>
  <si>
    <t xml:space="preserve">Sales Order DPRs</t>
  </si>
  <si>
    <t xml:space="preserve">2026-04-16 → 2026-05-06</t>
  </si>
  <si>
    <t xml:space="preserve">Financial Yr</t>
  </si>
  <si>
    <t xml:space="preserve">26-27</t>
  </si>
  <si>
    <t xml:space="preserve">Client PO No.</t>
  </si>
  <si>
    <t xml:space="preserve">CPPL/SEPL/05/25-26</t>
  </si>
  <si>
    <t xml:space="preserve">E-Way Bill</t>
  </si>
  <si>
    <t xml:space="preserve">BILL TO</t>
  </si>
  <si>
    <t xml:space="preserve">SHIP TO / INSTALLATION SITE</t>
  </si>
  <si>
    <t xml:space="preserve">SEEMA MAHAJAN</t>
  </si>
  <si>
    <t xml:space="preserve">CONSERN PHARMA</t>
  </si>
  <si>
    <t xml:space="preserve">Focal Point, VPO Tibba, Near Somasar Gurudwara - 141120</t>
  </si>
  <si>
    <t xml:space="preserve">GSTIN: 03AABCC7730R1ZF</t>
  </si>
  <si>
    <t xml:space="preserve">SL</t>
  </si>
  <si>
    <t xml:space="preserve">DESCRIPTION OF GOODS / INSTALLATION SERVICE</t>
  </si>
  <si>
    <t xml:space="preserve">HSN/SAC</t>
  </si>
  <si>
    <t xml:space="preserve">QTY</t>
  </si>
  <si>
    <t xml:space="preserve">UOM</t>
  </si>
  <si>
    <t xml:space="preserve">RATE (Rs.)</t>
  </si>
  <si>
    <t xml:space="preserve">AMOUNT (Rs.)</t>
  </si>
  <si>
    <t xml:space="preserve">Supplying, installation, testing &amp; commissioning of 3.5C x150 Sq.mm Aluminium armoured cable including termination.</t>
  </si>
  <si>
    <t xml:space="preserve">Mtrs</t>
  </si>
  <si>
    <t xml:space="preserve">Supply, Installation, Testing &amp; Commissioning of 100 KL Zinc-Alumene bolted corrugated water storage tank, AZ-150 coated steel sheets (JSW/Tata/Bluescope/APL) with internal 760 GSM high-tensile PVC liner (SRF), UV-stabilized, anti-algae, pH 2–12. 6.0 m dia × 3.55 m height, wall 0.8 mm (double fused bottom/middle rings), dome roof 0.5 mm on hot-dip galvanized trusses. Per IS 875 &amp; IS 1893, Zone-IV seismic, 55 m/s wind. Includes external &amp; internal ladders, float level indicator, HDG nozzles (inlet/outlet/overflow/drain), hold-down brackets, anchor bolts, manhole (600×600 mm), gaskets, fasteners. Empty wt ~1550 kg. (Food grade lining cost included)</t>
  </si>
  <si>
    <t xml:space="preserve">Nos.</t>
  </si>
  <si>
    <t xml:space="preserve">Supplying, installation, testing &amp; commissioning of 3.5C x 185mm Al Aluminium Cable complete as required.</t>
  </si>
  <si>
    <t xml:space="preserve">SECTION I – STRUCTURED CABLING SYSTEM (PASSIVE): Supply, Installation, Testing &amp; Commissioning of Category 6A RJ45 Unshielded Modular Jack, ISO/IEC 11801:2nd ed, EN 50173-1, ANSI/TIA/EIA 568-C.2 Cat 6A, IEC 60603-7, Universal 110 Impact Tool &amp; Toolless termination, Min. 500MHz bandwidth, for Data, Voice &amp; Wi-Fi at user end.</t>
  </si>
  <si>
    <t xml:space="preserve">Supply &amp; Installation of SMF battery 26ah</t>
  </si>
  <si>
    <t xml:space="preserve">Nos</t>
  </si>
  <si>
    <t xml:space="preserve">Supplying, installation, testing &amp; commissioning of 4C x 6 sq.mm Cu arm complete as required.</t>
  </si>
  <si>
    <t xml:space="preserve">Supply, Installation, Testing &amp; Commissioning of Cat6A Patch Cord UTP Unshielded LSZH 24AWG, dia &lt; 6.2mm, operating temp -20 to +60°C. 1 Mtr patch cord for rack-side switch to jack panel connectivity.</t>
  </si>
  <si>
    <t xml:space="preserve">Supplying, installation, testing &amp; commissioning of 4C x 16 sq.mm Cu arm complete as required.</t>
  </si>
  <si>
    <t xml:space="preserve">Supply, Installation, Testing &amp; Commissioning of 42 U (600W/1000D) floor mount rack with fans, 2 cable managers, stationary shelf, 2 Nos. hardware pkts. (NFR-42U-8080-BL-SK)</t>
  </si>
  <si>
    <t xml:space="preserve">Supply &amp; Installation of Battery Rack.</t>
  </si>
  <si>
    <t xml:space="preserve">1.08 TR (Hi-Wall unit) (For G.F-Labour office-1 No, 4th floor Cabin 1 No)</t>
  </si>
  <si>
    <t xml:space="preserve">Sub Total (Taxable Value)</t>
  </si>
  <si>
    <t xml:space="preserve">Freight / Packing / Other</t>
  </si>
  <si>
    <t xml:space="preserve">Add: IGST @ 18%</t>
  </si>
  <si>
    <t xml:space="preserve">Round Off</t>
  </si>
  <si>
    <t xml:space="preserve">GRAND TOTAL (Rs.)</t>
  </si>
  <si>
    <t xml:space="preserve">AMOUNT CHARGEABLE (IN WORDS): Rupees Twelve Thousand Seven Hundred Eighty Five Only</t>
  </si>
  <si>
    <t xml:space="preserve">PAYMENT TERMS</t>
  </si>
  <si>
    <t xml:space="preserve">40% of basic value + 100% GST due on delivery; balance per agreed terms.</t>
  </si>
  <si>
    <t xml:space="preserve">TERMS &amp; CONDITIONS</t>
  </si>
  <si>
    <t xml:space="preserve">• Payment: 40% basic + 100% GST on delivery; balance per agreed terms.</t>
  </si>
  <si>
    <t xml:space="preserve">• Interest @ 18% p.a. on overdue amounts.</t>
  </si>
  <si>
    <t xml:space="preserve">• Goods once sold are not taken back / exchanged.</t>
  </si>
  <si>
    <t xml:space="preserve">• Installation warranty as per work order. Subject to Ludhiana jurisdiction.</t>
  </si>
  <si>
    <t xml:space="preserve">• Cheque / DD in favour of "Secured Engineers Pvt. Ltd."; quote Invoice No.</t>
  </si>
  <si>
    <t xml:space="preserve">BANK DETAILS FOR PAYMENT</t>
  </si>
  <si>
    <t xml:space="preserve">Beneficiary: Secured Engineers Pvt. Ltd.</t>
  </si>
  <si>
    <t xml:space="preserve">Bank / Branch: ____________________</t>
  </si>
  <si>
    <t xml:space="preserve">A/c No.: ____________________</t>
  </si>
  <si>
    <t xml:space="preserve">IFSC: ____________________</t>
  </si>
  <si>
    <t xml:space="preserve">UPI ID: ____________________</t>
  </si>
  <si>
    <t xml:space="preserve">This is a Computer-Generated Tax Invoice, valid with IRN / signed QR code.  E. &amp; O.E.  · Certified that the particulars given above are true and correct.</t>
  </si>
  <si>
    <t xml:space="preserve">RECEIVER'S ACKNOWLEDGEMENT</t>
  </si>
  <si>
    <t xml:space="preserve">For SECURED ENGINEERS PVT. LTD.</t>
  </si>
  <si>
    <t xml:space="preserve">Received the above goods / installation in good condition.</t>
  </si>
  <si>
    <t xml:space="preserve">Name, Signature &amp; Stamp with Date</t>
  </si>
  <si>
    <t xml:space="preserve">Authorised Signatory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</si>
</sst>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9"/>
      <color rgb="FF2E5496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</row>
    <row r="7" customFormat="false" ht="19.5" hidden="false" customHeight="true" outlineLevel="0" collapsed="false">
      <c r="A7" s="5" t="s">
        <v>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6</v>
      </c>
      <c r="B8" s="6"/>
      <c r="C8" s="6"/>
      <c r="D8" s="6"/>
      <c r="E8" s="6"/>
      <c r="F8" s="6"/>
      <c r="G8" s="6"/>
    </row>
    <row r="10" customFormat="false" ht="15" hidden="false" customHeight="false" outlineLevel="0" collapsed="false">
      <c r="A10" s="7" t="s">
        <v>7</v>
      </c>
      <c r="B10" s="8" t="s">
        <v>8</v>
      </c>
      <c r="C10" s="8"/>
      <c r="D10" s="7" t="s">
        <v>9</v>
      </c>
      <c r="E10" s="8" t="s">
        <v>10</v>
      </c>
      <c r="F10" s="8"/>
      <c r="G10" s="8"/>
    </row>
    <row r="11" customFormat="false" ht="15" hidden="false" customHeight="false" outlineLevel="0" collapsed="false">
      <c r="A11" s="7" t="s">
        <v>11</v>
      </c>
      <c r="B11" s="8" t="s">
        <v>12</v>
      </c>
      <c r="C11" s="8"/>
      <c r="D11" s="7" t="s">
        <v>13</v>
      </c>
      <c r="E11" s="8" t="s">
        <v>14</v>
      </c>
      <c r="F11" s="8"/>
      <c r="G11" s="8"/>
    </row>
    <row r="12" customFormat="false" ht="15" hidden="false" customHeight="false" outlineLevel="0" collapsed="false">
      <c r="A12" s="7" t="s">
        <v>15</v>
      </c>
      <c r="B12" s="8" t="s">
        <v>16</v>
      </c>
      <c r="C12" s="8"/>
      <c r="D12" s="7" t="s">
        <v>17</v>
      </c>
      <c r="E12" s="8"/>
      <c r="F12" s="8"/>
      <c r="G12" s="8"/>
    </row>
    <row r="14" customFormat="false" ht="15" hidden="false" customHeight="false" outlineLevel="0" collapsed="false">
      <c r="A14" s="9" t="s">
        <v>18</v>
      </c>
      <c r="B14" s="9"/>
      <c r="C14" s="9"/>
      <c r="D14" s="9" t="s">
        <v>19</v>
      </c>
      <c r="E14" s="9"/>
      <c r="F14" s="9"/>
      <c r="G14" s="9"/>
    </row>
    <row r="15" customFormat="false" ht="15" hidden="false" customHeight="false" outlineLevel="0" collapsed="false">
      <c r="A15" s="10" t="s">
        <v>20</v>
      </c>
      <c r="B15" s="10"/>
      <c r="C15" s="10"/>
      <c r="D15" s="10" t="s">
        <v>21</v>
      </c>
      <c r="E15" s="10"/>
      <c r="F15" s="10"/>
      <c r="G15" s="10"/>
    </row>
    <row r="16" customFormat="false" ht="15" hidden="false" customHeight="false" outlineLevel="0" collapsed="false">
      <c r="A16" s="8" t="s">
        <v>22</v>
      </c>
      <c r="B16" s="8"/>
      <c r="C16" s="8"/>
      <c r="D16" s="8" t="s">
        <v>22</v>
      </c>
      <c r="E16" s="8"/>
      <c r="F16" s="8"/>
      <c r="G16" s="8"/>
    </row>
    <row r="17" customFormat="false" ht="15" hidden="false" customHeight="false" outlineLevel="0" collapsed="false">
      <c r="A17" s="8" t="s">
        <v>23</v>
      </c>
      <c r="B17" s="8"/>
      <c r="C17" s="8"/>
      <c r="D17" s="8"/>
      <c r="E17" s="8"/>
      <c r="F17" s="8"/>
      <c r="G17" s="8"/>
    </row>
    <row r="19" customFormat="false" ht="27.75" hidden="false" customHeight="true" outlineLevel="0" collapsed="false">
      <c r="A19" s="11" t="s">
        <v>24</v>
      </c>
      <c r="B19" s="11" t="s">
        <v>25</v>
      </c>
      <c r="C19" s="11" t="s">
        <v>26</v>
      </c>
      <c r="D19" s="11" t="s">
        <v>27</v>
      </c>
      <c r="E19" s="11" t="s">
        <v>28</v>
      </c>
      <c r="F19" s="11" t="s">
        <v>29</v>
      </c>
      <c r="G19" s="11" t="s">
        <v>30</v>
      </c>
    </row>
    <row r="20" customFormat="false" ht="22.35" hidden="false" customHeight="false" outlineLevel="0" collapsed="false">
      <c r="A20" s="12" t="n">
        <v>1</v>
      </c>
      <c r="B20" s="13" t="s">
        <v>31</v>
      </c>
      <c r="C20" s="12"/>
      <c r="D20" s="14" t="n">
        <v>50</v>
      </c>
      <c r="E20" s="12" t="s">
        <v>32</v>
      </c>
      <c r="F20" s="14" t="n">
        <v>5.5</v>
      </c>
      <c r="G20" s="14" t="n">
        <f aca="false">D20*F20</f>
        <v>275</v>
      </c>
    </row>
    <row r="21" customFormat="false" ht="116.4" hidden="false" customHeight="false" outlineLevel="0" collapsed="false">
      <c r="A21" s="15" t="n">
        <v>2</v>
      </c>
      <c r="B21" s="16" t="s">
        <v>33</v>
      </c>
      <c r="C21" s="15"/>
      <c r="D21" s="17" t="n">
        <v>1</v>
      </c>
      <c r="E21" s="15" t="s">
        <v>34</v>
      </c>
      <c r="F21" s="17" t="n">
        <v>15.95</v>
      </c>
      <c r="G21" s="17" t="n">
        <f aca="false">D21*F21</f>
        <v>15.95</v>
      </c>
    </row>
    <row r="22" customFormat="false" ht="22.35" hidden="false" customHeight="false" outlineLevel="0" collapsed="false">
      <c r="A22" s="12" t="n">
        <v>3</v>
      </c>
      <c r="B22" s="13" t="s">
        <v>35</v>
      </c>
      <c r="C22" s="12"/>
      <c r="D22" s="14" t="n">
        <v>50</v>
      </c>
      <c r="E22" s="12" t="s">
        <v>32</v>
      </c>
      <c r="F22" s="14" t="n">
        <v>22</v>
      </c>
      <c r="G22" s="14" t="n">
        <f aca="false">D22*F22</f>
        <v>1100</v>
      </c>
    </row>
    <row r="23" customFormat="false" ht="64.15" hidden="false" customHeight="false" outlineLevel="0" collapsed="false">
      <c r="A23" s="15" t="n">
        <v>4</v>
      </c>
      <c r="B23" s="16" t="s">
        <v>36</v>
      </c>
      <c r="C23" s="15"/>
      <c r="D23" s="17" t="n">
        <v>30</v>
      </c>
      <c r="E23" s="15" t="s">
        <v>34</v>
      </c>
      <c r="F23" s="17" t="n">
        <v>16.5</v>
      </c>
      <c r="G23" s="17" t="n">
        <f aca="false">D23*F23</f>
        <v>495</v>
      </c>
    </row>
    <row r="24" customFormat="false" ht="15" hidden="false" customHeight="false" outlineLevel="0" collapsed="false">
      <c r="A24" s="12" t="n">
        <v>5</v>
      </c>
      <c r="B24" s="13" t="s">
        <v>37</v>
      </c>
      <c r="C24" s="12"/>
      <c r="D24" s="14" t="n">
        <v>32</v>
      </c>
      <c r="E24" s="12" t="s">
        <v>38</v>
      </c>
      <c r="F24" s="14" t="n">
        <v>22</v>
      </c>
      <c r="G24" s="14" t="n">
        <f aca="false">D24*F24</f>
        <v>704</v>
      </c>
    </row>
    <row r="25" customFormat="false" ht="22.35" hidden="false" customHeight="false" outlineLevel="0" collapsed="false">
      <c r="A25" s="15" t="n">
        <v>6</v>
      </c>
      <c r="B25" s="16" t="s">
        <v>39</v>
      </c>
      <c r="C25" s="15"/>
      <c r="D25" s="17" t="n">
        <v>150</v>
      </c>
      <c r="E25" s="15" t="s">
        <v>32</v>
      </c>
      <c r="F25" s="17" t="n">
        <v>7.7</v>
      </c>
      <c r="G25" s="17" t="n">
        <f aca="false">D25*F25</f>
        <v>1155</v>
      </c>
    </row>
    <row r="26" customFormat="false" ht="43.25" hidden="false" customHeight="false" outlineLevel="0" collapsed="false">
      <c r="A26" s="12" t="n">
        <v>7</v>
      </c>
      <c r="B26" s="13" t="s">
        <v>40</v>
      </c>
      <c r="C26" s="12"/>
      <c r="D26" s="14" t="n">
        <v>15</v>
      </c>
      <c r="E26" s="12" t="s">
        <v>34</v>
      </c>
      <c r="F26" s="14" t="n">
        <v>7.7</v>
      </c>
      <c r="G26" s="14" t="n">
        <f aca="false">D26*F26</f>
        <v>115.5</v>
      </c>
    </row>
    <row r="27" customFormat="false" ht="22.35" hidden="false" customHeight="false" outlineLevel="0" collapsed="false">
      <c r="A27" s="15" t="n">
        <v>8</v>
      </c>
      <c r="B27" s="16" t="s">
        <v>31</v>
      </c>
      <c r="C27" s="15"/>
      <c r="D27" s="17" t="n">
        <v>100</v>
      </c>
      <c r="E27" s="15" t="s">
        <v>32</v>
      </c>
      <c r="F27" s="17" t="n">
        <v>11</v>
      </c>
      <c r="G27" s="17" t="n">
        <f aca="false">D27*F27</f>
        <v>1100</v>
      </c>
    </row>
    <row r="28" customFormat="false" ht="22.35" hidden="false" customHeight="false" outlineLevel="0" collapsed="false">
      <c r="A28" s="12" t="n">
        <v>9</v>
      </c>
      <c r="B28" s="13" t="s">
        <v>39</v>
      </c>
      <c r="C28" s="12"/>
      <c r="D28" s="14" t="n">
        <v>300</v>
      </c>
      <c r="E28" s="12" t="s">
        <v>32</v>
      </c>
      <c r="F28" s="14" t="n">
        <v>7.15</v>
      </c>
      <c r="G28" s="14" t="n">
        <f aca="false">D28*F28</f>
        <v>2145</v>
      </c>
    </row>
    <row r="29" customFormat="false" ht="22.35" hidden="false" customHeight="false" outlineLevel="0" collapsed="false">
      <c r="A29" s="15" t="n">
        <v>10</v>
      </c>
      <c r="B29" s="16" t="s">
        <v>41</v>
      </c>
      <c r="C29" s="15"/>
      <c r="D29" s="17" t="n">
        <v>200</v>
      </c>
      <c r="E29" s="15" t="s">
        <v>32</v>
      </c>
      <c r="F29" s="17" t="n">
        <v>9.35</v>
      </c>
      <c r="G29" s="17" t="n">
        <f aca="false">D29*F29</f>
        <v>1870</v>
      </c>
    </row>
    <row r="30" customFormat="false" ht="32.8" hidden="false" customHeight="false" outlineLevel="0" collapsed="false">
      <c r="A30" s="12" t="n">
        <v>11</v>
      </c>
      <c r="B30" s="13" t="s">
        <v>42</v>
      </c>
      <c r="C30" s="12"/>
      <c r="D30" s="14" t="n">
        <v>1</v>
      </c>
      <c r="E30" s="12" t="s">
        <v>34</v>
      </c>
      <c r="F30" s="14" t="n">
        <v>275</v>
      </c>
      <c r="G30" s="14" t="n">
        <f aca="false">D30*F30</f>
        <v>275</v>
      </c>
    </row>
    <row r="31" customFormat="false" ht="22.35" hidden="false" customHeight="false" outlineLevel="0" collapsed="false">
      <c r="A31" s="15" t="n">
        <v>12</v>
      </c>
      <c r="B31" s="16" t="s">
        <v>39</v>
      </c>
      <c r="C31" s="15"/>
      <c r="D31" s="17" t="n">
        <v>200</v>
      </c>
      <c r="E31" s="15" t="s">
        <v>32</v>
      </c>
      <c r="F31" s="17" t="n">
        <v>5.5</v>
      </c>
      <c r="G31" s="17" t="n">
        <f aca="false">D31*F31</f>
        <v>1100</v>
      </c>
    </row>
    <row r="32" customFormat="false" ht="15" hidden="false" customHeight="false" outlineLevel="0" collapsed="false">
      <c r="A32" s="12" t="n">
        <v>13</v>
      </c>
      <c r="B32" s="13" t="s">
        <v>43</v>
      </c>
      <c r="C32" s="12"/>
      <c r="D32" s="14" t="n">
        <v>2</v>
      </c>
      <c r="E32" s="12" t="s">
        <v>38</v>
      </c>
      <c r="F32" s="14" t="n">
        <v>110</v>
      </c>
      <c r="G32" s="14" t="n">
        <f aca="false">D32*F32</f>
        <v>220</v>
      </c>
    </row>
    <row r="33" customFormat="false" ht="22.35" hidden="false" customHeight="false" outlineLevel="0" collapsed="false">
      <c r="A33" s="15" t="n">
        <v>14</v>
      </c>
      <c r="B33" s="16" t="s">
        <v>44</v>
      </c>
      <c r="C33" s="15"/>
      <c r="D33" s="17" t="n">
        <v>2</v>
      </c>
      <c r="E33" s="15" t="s">
        <v>34</v>
      </c>
      <c r="F33" s="17" t="n">
        <v>132</v>
      </c>
      <c r="G33" s="17" t="n">
        <f aca="false">D33*F33</f>
        <v>264</v>
      </c>
    </row>
    <row r="34" customFormat="false" ht="15" hidden="false" customHeight="false" outlineLevel="0" collapsed="false">
      <c r="A34" s="18" t="s">
        <v>45</v>
      </c>
      <c r="B34" s="18"/>
      <c r="C34" s="18"/>
      <c r="D34" s="18"/>
      <c r="E34" s="18"/>
      <c r="F34" s="18"/>
      <c r="G34" s="19" t="n">
        <f aca="false">SUM(G20:G33)</f>
        <v>10834.45</v>
      </c>
    </row>
    <row r="35" customFormat="false" ht="15" hidden="false" customHeight="false" outlineLevel="0" collapsed="false">
      <c r="A35" s="20" t="s">
        <v>46</v>
      </c>
      <c r="B35" s="20"/>
      <c r="C35" s="20"/>
      <c r="D35" s="20"/>
      <c r="E35" s="20"/>
      <c r="F35" s="20"/>
      <c r="G35" s="21" t="n">
        <v>0</v>
      </c>
    </row>
    <row r="36" customFormat="false" ht="15" hidden="false" customHeight="false" outlineLevel="0" collapsed="false">
      <c r="A36" s="20" t="s">
        <v>47</v>
      </c>
      <c r="B36" s="20"/>
      <c r="C36" s="20"/>
      <c r="D36" s="20"/>
      <c r="E36" s="20"/>
      <c r="F36" s="20"/>
      <c r="G36" s="21" t="n">
        <f aca="false">G34*0.18</f>
        <v>1950.201</v>
      </c>
    </row>
    <row r="37" customFormat="false" ht="15" hidden="false" customHeight="false" outlineLevel="0" collapsed="false">
      <c r="A37" s="20" t="s">
        <v>48</v>
      </c>
      <c r="B37" s="20"/>
      <c r="C37" s="20"/>
      <c r="D37" s="20"/>
      <c r="E37" s="20"/>
      <c r="F37" s="20"/>
      <c r="G37" s="21" t="n">
        <f aca="false">0.35</f>
        <v>0.35</v>
      </c>
    </row>
    <row r="38" customFormat="false" ht="15" hidden="false" customHeight="false" outlineLevel="0" collapsed="false">
      <c r="A38" s="22" t="s">
        <v>49</v>
      </c>
      <c r="B38" s="22"/>
      <c r="C38" s="22"/>
      <c r="D38" s="22"/>
      <c r="E38" s="22"/>
      <c r="F38" s="22"/>
      <c r="G38" s="23" t="n">
        <f aca="false">G34+G35+G36+G37</f>
        <v>12785.001</v>
      </c>
    </row>
    <row r="40" customFormat="false" ht="15" hidden="false" customHeight="false" outlineLevel="0" collapsed="false">
      <c r="A40" s="24" t="s">
        <v>50</v>
      </c>
      <c r="B40" s="24"/>
      <c r="C40" s="24"/>
      <c r="D40" s="24"/>
      <c r="E40" s="24"/>
      <c r="F40" s="24"/>
      <c r="G40" s="24"/>
    </row>
    <row r="42" customFormat="false" ht="15" hidden="false" customHeight="false" outlineLevel="0" collapsed="false">
      <c r="A42" s="25" t="s">
        <v>51</v>
      </c>
      <c r="B42" s="25"/>
      <c r="C42" s="25"/>
      <c r="D42" s="25"/>
      <c r="E42" s="25"/>
      <c r="F42" s="25"/>
      <c r="G42" s="25"/>
    </row>
    <row r="43" customFormat="false" ht="15" hidden="false" customHeight="true" outlineLevel="0" collapsed="false">
      <c r="A43" s="26" t="s">
        <v>52</v>
      </c>
      <c r="B43" s="26"/>
      <c r="C43" s="26"/>
      <c r="D43" s="26"/>
      <c r="E43" s="26"/>
      <c r="F43" s="26"/>
      <c r="G43" s="26"/>
    </row>
    <row r="44" customFormat="false" ht="15" hidden="false" customHeight="false" outlineLevel="0" collapsed="false">
      <c r="A44" s="25" t="s">
        <v>53</v>
      </c>
      <c r="B44" s="25"/>
      <c r="C44" s="25"/>
      <c r="D44" s="25"/>
      <c r="E44" s="25"/>
      <c r="F44" s="25"/>
      <c r="G44" s="25"/>
    </row>
    <row r="45" customFormat="false" ht="15" hidden="false" customHeight="true" outlineLevel="0" collapsed="false">
      <c r="A45" s="26" t="s">
        <v>54</v>
      </c>
      <c r="B45" s="26"/>
      <c r="C45" s="26"/>
      <c r="D45" s="26"/>
      <c r="E45" s="26"/>
      <c r="F45" s="26"/>
      <c r="G45" s="26"/>
    </row>
    <row r="46" customFormat="false" ht="15" hidden="false" customHeight="true" outlineLevel="0" collapsed="false">
      <c r="A46" s="26" t="s">
        <v>55</v>
      </c>
      <c r="B46" s="26"/>
      <c r="C46" s="26"/>
      <c r="D46" s="26"/>
      <c r="E46" s="26"/>
      <c r="F46" s="26"/>
      <c r="G46" s="26"/>
    </row>
    <row r="47" customFormat="false" ht="15" hidden="false" customHeight="true" outlineLevel="0" collapsed="false">
      <c r="A47" s="26" t="s">
        <v>56</v>
      </c>
      <c r="B47" s="26"/>
      <c r="C47" s="26"/>
      <c r="D47" s="26"/>
      <c r="E47" s="26"/>
      <c r="F47" s="26"/>
      <c r="G47" s="26"/>
    </row>
    <row r="48" customFormat="false" ht="15" hidden="false" customHeight="true" outlineLevel="0" collapsed="false">
      <c r="A48" s="26" t="s">
        <v>57</v>
      </c>
      <c r="B48" s="26"/>
      <c r="C48" s="26"/>
      <c r="D48" s="26"/>
      <c r="E48" s="26"/>
      <c r="F48" s="26"/>
      <c r="G48" s="26"/>
    </row>
    <row r="49" customFormat="false" ht="15" hidden="false" customHeight="true" outlineLevel="0" collapsed="false">
      <c r="A49" s="26" t="s">
        <v>58</v>
      </c>
      <c r="B49" s="26"/>
      <c r="C49" s="26"/>
      <c r="D49" s="26"/>
      <c r="E49" s="26"/>
      <c r="F49" s="26"/>
      <c r="G49" s="26"/>
    </row>
    <row r="50" customFormat="false" ht="15" hidden="false" customHeight="false" outlineLevel="0" collapsed="false">
      <c r="A50" s="25" t="s">
        <v>59</v>
      </c>
      <c r="B50" s="25"/>
      <c r="C50" s="25"/>
      <c r="D50" s="25"/>
      <c r="E50" s="25"/>
      <c r="F50" s="25"/>
      <c r="G50" s="25"/>
    </row>
    <row r="51" customFormat="false" ht="15" hidden="false" customHeight="true" outlineLevel="0" collapsed="false">
      <c r="A51" s="26" t="s">
        <v>60</v>
      </c>
      <c r="B51" s="26"/>
      <c r="C51" s="26"/>
      <c r="D51" s="26"/>
      <c r="E51" s="26"/>
      <c r="F51" s="26"/>
      <c r="G51" s="26"/>
    </row>
    <row r="52" customFormat="false" ht="15" hidden="false" customHeight="true" outlineLevel="0" collapsed="false">
      <c r="A52" s="26" t="s">
        <v>61</v>
      </c>
      <c r="B52" s="26"/>
      <c r="C52" s="26"/>
      <c r="D52" s="26"/>
      <c r="E52" s="26"/>
      <c r="F52" s="26"/>
      <c r="G52" s="26"/>
    </row>
    <row r="53" customFormat="false" ht="15" hidden="false" customHeight="true" outlineLevel="0" collapsed="false">
      <c r="A53" s="26" t="s">
        <v>62</v>
      </c>
      <c r="B53" s="26"/>
      <c r="C53" s="26"/>
      <c r="D53" s="26"/>
      <c r="E53" s="26"/>
      <c r="F53" s="26"/>
      <c r="G53" s="26"/>
    </row>
    <row r="54" customFormat="false" ht="15" hidden="false" customHeight="true" outlineLevel="0" collapsed="false">
      <c r="A54" s="26" t="s">
        <v>63</v>
      </c>
      <c r="B54" s="26"/>
      <c r="C54" s="26"/>
      <c r="D54" s="26"/>
      <c r="E54" s="26"/>
      <c r="F54" s="26"/>
      <c r="G54" s="26"/>
    </row>
    <row r="55" customFormat="false" ht="15" hidden="false" customHeight="true" outlineLevel="0" collapsed="false">
      <c r="A55" s="26" t="s">
        <v>64</v>
      </c>
      <c r="B55" s="26"/>
      <c r="C55" s="26"/>
      <c r="D55" s="26"/>
      <c r="E55" s="26"/>
      <c r="F55" s="26"/>
      <c r="G55" s="26"/>
    </row>
    <row r="57" customFormat="false" ht="15" hidden="false" customHeight="true" outlineLevel="0" collapsed="false">
      <c r="A57" s="26" t="s">
        <v>65</v>
      </c>
      <c r="B57" s="26"/>
      <c r="C57" s="26"/>
      <c r="D57" s="26"/>
      <c r="E57" s="26"/>
      <c r="F57" s="26"/>
      <c r="G57" s="26"/>
    </row>
    <row r="59" customFormat="false" ht="15" hidden="false" customHeight="false" outlineLevel="0" collapsed="false">
      <c r="A59" s="10" t="s">
        <v>66</v>
      </c>
      <c r="B59" s="10"/>
      <c r="C59" s="10"/>
      <c r="E59" s="27" t="s">
        <v>67</v>
      </c>
      <c r="F59" s="27"/>
      <c r="G59" s="27"/>
    </row>
    <row r="60" customFormat="false" ht="15" hidden="false" customHeight="false" outlineLevel="0" collapsed="false">
      <c r="A60" s="28" t="s">
        <v>68</v>
      </c>
      <c r="B60" s="28"/>
      <c r="C60" s="28"/>
    </row>
    <row r="63" customFormat="false" ht="15" hidden="false" customHeight="false" outlineLevel="0" collapsed="false">
      <c r="A63" s="29" t="s">
        <v>69</v>
      </c>
      <c r="B63" s="29"/>
      <c r="C63" s="29"/>
      <c r="E63" s="6" t="s">
        <v>70</v>
      </c>
      <c r="F63" s="6"/>
      <c r="G63" s="6"/>
    </row>
  </sheetData>
  <mergeCells count="47">
    <mergeCell ref="A1:G1"/>
    <mergeCell ref="A2:G2"/>
    <mergeCell ref="A3:G3"/>
    <mergeCell ref="A4:G4"/>
    <mergeCell ref="A5:G5"/>
    <mergeCell ref="A7:G7"/>
    <mergeCell ref="A8:G8"/>
    <mergeCell ref="B10:C10"/>
    <mergeCell ref="E10:G10"/>
    <mergeCell ref="B11:C11"/>
    <mergeCell ref="E11:G11"/>
    <mergeCell ref="B12:C12"/>
    <mergeCell ref="E12:G12"/>
    <mergeCell ref="A14:C14"/>
    <mergeCell ref="D14:G14"/>
    <mergeCell ref="A15:C15"/>
    <mergeCell ref="D15:G15"/>
    <mergeCell ref="A16:C16"/>
    <mergeCell ref="D16:G16"/>
    <mergeCell ref="A17:C17"/>
    <mergeCell ref="D17:G17"/>
    <mergeCell ref="A34:F34"/>
    <mergeCell ref="A35:F35"/>
    <mergeCell ref="A36:F36"/>
    <mergeCell ref="A37:F37"/>
    <mergeCell ref="A38:F38"/>
    <mergeCell ref="A40:G40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7:G57"/>
    <mergeCell ref="A59:C59"/>
    <mergeCell ref="E59:G59"/>
    <mergeCell ref="A60:C60"/>
    <mergeCell ref="A63:C63"/>
    <mergeCell ref="E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2026-06-25T07:55:46Z</dcterms:created>
  <dc:creator>openpyxl</dc:creator>
  <dc:description/>
  <dc:language>en-US</dc:language>
  <cp:lastModifiedBy/>
  <dcterms:modified xsi:type="dcterms:W3CDTF">2026-06-25T07:55:47Z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